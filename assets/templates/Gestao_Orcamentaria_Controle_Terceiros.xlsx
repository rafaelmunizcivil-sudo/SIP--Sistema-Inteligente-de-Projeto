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" sheetId="1" state="visible" r:id="rId3"/>
    <sheet name="ListaDescrico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<sst xmlns="http://schemas.openxmlformats.org/spreadsheetml/2006/main" count="100" uniqueCount="99">
  <si>
    <t xml:space="preserve">GESTÃO ORÇAMENTÁRIA E CONTROLE DE TERCEIROS</t>
  </si>
  <si>
    <t xml:space="preserve">CONTRATO</t>
  </si>
  <si>
    <r>
      <rPr>
        <b val="true"/>
        <sz val="11"/>
        <color rgb="FF555555"/>
        <rFont val="Calibri"/>
        <family val="0"/>
        <charset val="1"/>
      </rPr>
      <t xml:space="preserve">I</t>
    </r>
    <r>
      <rPr>
        <b val="true"/>
        <vertAlign val="subscript"/>
        <sz val="7"/>
        <color rgb="FF555555"/>
        <rFont val="Calibri"/>
        <family val="0"/>
        <charset val="1"/>
      </rPr>
      <t xml:space="preserve">0</t>
    </r>
    <r>
      <rPr>
        <b val="true"/>
        <sz val="11"/>
        <color rgb="FF555555"/>
        <rFont val="Calibri"/>
        <family val="0"/>
        <charset val="1"/>
      </rPr>
      <t xml:space="preserve">:</t>
    </r>
  </si>
  <si>
    <r>
      <rPr>
        <b val="true"/>
        <sz val="11"/>
        <color rgb="FF555555"/>
        <rFont val="Calibri"/>
        <family val="0"/>
        <charset val="1"/>
      </rPr>
      <t xml:space="preserve">I</t>
    </r>
    <r>
      <rPr>
        <b val="true"/>
        <vertAlign val="subscript"/>
        <sz val="7"/>
        <color rgb="FF555555"/>
        <rFont val="Calibri"/>
        <family val="0"/>
        <charset val="1"/>
      </rPr>
      <t xml:space="preserve">REF</t>
    </r>
    <r>
      <rPr>
        <b val="true"/>
        <sz val="11"/>
        <color rgb="FF555555"/>
        <rFont val="Calibri"/>
        <family val="0"/>
        <charset val="1"/>
      </rPr>
      <t xml:space="preserve">:</t>
    </r>
  </si>
  <si>
    <t xml:space="preserve">Identificação</t>
  </si>
  <si>
    <t xml:space="preserve">Dados Contratuais</t>
  </si>
  <si>
    <t xml:space="preserve">Valor do Contrato da Consol Atualizado</t>
  </si>
  <si>
    <t xml:space="preserve">Controle de Terceiros</t>
  </si>
  <si>
    <t xml:space="preserve">Taxa de Contribuição</t>
  </si>
  <si>
    <t xml:space="preserve">Taxa de Recorrência</t>
  </si>
  <si>
    <t xml:space="preserve">Item</t>
  </si>
  <si>
    <t xml:space="preserve">Nº do Contrato</t>
  </si>
  <si>
    <t xml:space="preserve">Descrição das Atividades</t>
  </si>
  <si>
    <t xml:space="preserve">Unidade</t>
  </si>
  <si>
    <t xml:space="preserve">Quantidade</t>
  </si>
  <si>
    <t xml:space="preserve">Preço Unit. (R$)</t>
  </si>
  <si>
    <t xml:space="preserve">Total</t>
  </si>
  <si>
    <t xml:space="preserve">Índice de Reajuste</t>
  </si>
  <si>
    <t xml:space="preserve">Valor Atualizado (R$)</t>
  </si>
  <si>
    <t xml:space="preserve">Nome da Empresa</t>
  </si>
  <si>
    <t xml:space="preserve">Preço Unitário (R$)</t>
  </si>
  <si>
    <t xml:space="preserve">Valor Contratado</t>
  </si>
  <si>
    <t xml:space="preserve">Valor Pago</t>
  </si>
  <si>
    <t xml:space="preserve">Saldo</t>
  </si>
  <si>
    <t xml:space="preserve">R$</t>
  </si>
  <si>
    <t xml:space="preserve">%</t>
  </si>
  <si>
    <t xml:space="preserve">Data de Entrega ao Cliente</t>
  </si>
  <si>
    <t xml:space="preserve">Data da Medição</t>
  </si>
  <si>
    <t xml:space="preserve">Nº da Medição</t>
  </si>
  <si>
    <t xml:space="preserve">Taxa de Recorrência (meses)</t>
  </si>
  <si>
    <t xml:space="preserve">GrupoID</t>
  </si>
  <si>
    <t xml:space="preserve">Descrições das Atividades (ordem alfabética)</t>
  </si>
  <si>
    <t xml:space="preserve">Administração</t>
  </si>
  <si>
    <t xml:space="preserve">Coordenação</t>
  </si>
  <si>
    <t xml:space="preserve">Diagnóstico preliminar de Obra-de-Arte-Especial (OAE) L=&lt; 50m</t>
  </si>
  <si>
    <t xml:space="preserve">Diagnóstico Preliminar de Segurança Viária</t>
  </si>
  <si>
    <t xml:space="preserve">Estudo de tráfego (contagem volumétrica e classificatória)</t>
  </si>
  <si>
    <t xml:space="preserve">Estudos de Traçado</t>
  </si>
  <si>
    <t xml:space="preserve">Estudos e Projetos Ambientais - Campanha de monitoramento/inventariamento da fauna</t>
  </si>
  <si>
    <t xml:space="preserve">Estudos e Projetos Ambientais - Estudo de alternativa técnica e locacional</t>
  </si>
  <si>
    <t xml:space="preserve">Estudos e Projetos Ambientais - Estudos de prospecção espeleológica</t>
  </si>
  <si>
    <t xml:space="preserve">Estudos e Projetos Ambientais - Mapeamento de cavidades e Avaliação de impactos</t>
  </si>
  <si>
    <t xml:space="preserve">Estudos e Projetos Ambientais - PIA com Inventário Florestal/Fitosociológico</t>
  </si>
  <si>
    <t xml:space="preserve">Estudos e Projetos Ambientais - Plano de Controle Ambiental - PCA com PRAD</t>
  </si>
  <si>
    <t xml:space="preserve">Estudos e Projetos Ambientais - Projeto Técnico de Reconstituição da Flora - PTRF incluindo o Projeto de Compensação de APPs e Corte de Ameaçadas de extinção</t>
  </si>
  <si>
    <t xml:space="preserve">Estudos e Projetos Ambientais - Relatório de Controle Ambiental - RCA</t>
  </si>
  <si>
    <t xml:space="preserve">Estudos Geológicos</t>
  </si>
  <si>
    <t xml:space="preserve">Estudos Geotécnicos</t>
  </si>
  <si>
    <t xml:space="preserve">Estudos hidrológicos</t>
  </si>
  <si>
    <t xml:space="preserve">Estudos hidrológicos para Obra de Arte Especial com comprimento L=&lt;50m</t>
  </si>
  <si>
    <t xml:space="preserve">Estudos topográficos</t>
  </si>
  <si>
    <t xml:space="preserve">Impressão Definitiva da Memória de Cálculo de Obra-de-Arte-Especial (Formato A4)</t>
  </si>
  <si>
    <t xml:space="preserve">Impressão Definitiva da Memória Justificativa (Formato A4)</t>
  </si>
  <si>
    <t xml:space="preserve">Impressão Definitiva das Notas de Serviço e Cálculo de Volumes - Anexo 3D (Formato A4)</t>
  </si>
  <si>
    <t xml:space="preserve">Impressão Definitiva do Orçamento da Obra (Formato A4)</t>
  </si>
  <si>
    <t xml:space="preserve">Impressão Definitiva do Projeto de Desapropriação - Anexo 3A (Formato A4)</t>
  </si>
  <si>
    <t xml:space="preserve">Impressão Definitiva do Projeto de Execução (Formato A3)</t>
  </si>
  <si>
    <t xml:space="preserve">Impressão Definitiva do Projeto de Execução de Obras-de-Arte-Especiais (Formato A1 - Sulfite)</t>
  </si>
  <si>
    <t xml:space="preserve">Impressão definitiva do Projeto de Execução de Obras-de-Arte-Especiais (Formato A1 - Vegetal)</t>
  </si>
  <si>
    <t xml:space="preserve">Impressão Definitiva do Relatório de Projeto e Documentos para concorrência (Formato A4)</t>
  </si>
  <si>
    <t xml:space="preserve">Impressão Definitiva dos Estudos Geotécnicos - Anexo 3B (Formato A4)</t>
  </si>
  <si>
    <t xml:space="preserve">Minuta da Memória de Cálculo da Obra de Arte Especial (Formato A4)</t>
  </si>
  <si>
    <t xml:space="preserve">Minuta das Notas de Serviço e Cálculo de Volumes - Anexo 3D (Formato A4)</t>
  </si>
  <si>
    <t xml:space="preserve">Minuta do Projeto de Desapropriação - Anexo 3A (Formato A4)</t>
  </si>
  <si>
    <t xml:space="preserve">Minuta do Projeto de Execução (Formato A3)</t>
  </si>
  <si>
    <t xml:space="preserve">Minuta do projeto de execução de Obra de Arte Especial (Formato A1)</t>
  </si>
  <si>
    <t xml:space="preserve">Minuta do Relatório de Projeto (Formato A4)</t>
  </si>
  <si>
    <t xml:space="preserve">Minuta dos Estudos Geotécnicos - Anexo 3B (Formato A4)</t>
  </si>
  <si>
    <t xml:space="preserve">Mobilização para Sondagem a Penetrômetro DinâmicoLeve</t>
  </si>
  <si>
    <t xml:space="preserve">Mobilização para Sondagem a Percussão</t>
  </si>
  <si>
    <t xml:space="preserve">Mobilização para Sondagem mista</t>
  </si>
  <si>
    <t xml:space="preserve">Orçamento da Obra - OAE</t>
  </si>
  <si>
    <t xml:space="preserve">Orçamento da Obra - Trecho</t>
  </si>
  <si>
    <t xml:space="preserve">Projeto Completo gravado em meio digital</t>
  </si>
  <si>
    <t xml:space="preserve">Projeto de bueiro celular com fundação profunda</t>
  </si>
  <si>
    <t xml:space="preserve">Projeto de Desapropriação</t>
  </si>
  <si>
    <t xml:space="preserve">Projeto de Desapropriação - Busca de registro em cartório</t>
  </si>
  <si>
    <t xml:space="preserve">Projeto de desapropriação - Certidão negativa de registro</t>
  </si>
  <si>
    <t xml:space="preserve">Projeto de Drenagem</t>
  </si>
  <si>
    <t xml:space="preserve">Projeto de Estabilização de Aterro sobre Solos Compressíveis</t>
  </si>
  <si>
    <t xml:space="preserve">Projeto de Estabilização de Maciços</t>
  </si>
  <si>
    <t xml:space="preserve">Projeto de interseção no mesmo plano</t>
  </si>
  <si>
    <t xml:space="preserve">Projeto de Obra-de-Arte-Especial</t>
  </si>
  <si>
    <t xml:space="preserve">Projeto de Obras Complementares</t>
  </si>
  <si>
    <t xml:space="preserve">Projeto de Pavimentação</t>
  </si>
  <si>
    <t xml:space="preserve">Projeto de Segurança Viária</t>
  </si>
  <si>
    <t xml:space="preserve">Projeto executivo de compensação florestal em área de Mata Atlântica</t>
  </si>
  <si>
    <t xml:space="preserve">Projeto Geométrico</t>
  </si>
  <si>
    <t xml:space="preserve">Projeto Geotécnico e de Terraplenagem</t>
  </si>
  <si>
    <t xml:space="preserve">Sondagem a Penetrômetro Dinâmico Leve</t>
  </si>
  <si>
    <t xml:space="preserve">Sondagem a Percussão</t>
  </si>
  <si>
    <t xml:space="preserve">Sondagem a Trado  para delineamento da superfície rochosa ao nível do subleito</t>
  </si>
  <si>
    <t xml:space="preserve">Sondagem mista em rocha</t>
  </si>
  <si>
    <t xml:space="preserve">Sondagem mista em solo</t>
  </si>
  <si>
    <t xml:space="preserve">Taxa de instalação por furo para Sondagem a Percussão</t>
  </si>
  <si>
    <t xml:space="preserve">Taxa de instalação por furo para Sondagem mista</t>
  </si>
  <si>
    <t xml:space="preserve">Veículo tipo gol 1.6, quatro portas, ou similar, com motorista</t>
  </si>
  <si>
    <t xml:space="preserve">Veículo Tipo Van, 12 passageiros, com motorista</t>
  </si>
  <si>
    <t xml:space="preserve">Visita ao trecho em fase de projeto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</si>
</sst>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_-* #,##0.00_-;\-* #,##0.00_-;_-* \-??_-;_-@_-"/>
    <numFmt numFmtId="167" formatCode="0.0%"/>
    <numFmt numFmtId="168" formatCode="dd/mm/yyyy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1"/>
      <color rgb="FF999999"/>
      <name val="Calibri"/>
      <family val="0"/>
      <charset val="1"/>
    </font>
    <font>
      <b val="true"/>
      <sz val="11"/>
      <color rgb="FF555555"/>
      <name val="Calibri"/>
      <family val="0"/>
      <charset val="1"/>
    </font>
    <font>
      <b val="true"/>
      <vertAlign val="subscript"/>
      <sz val="7"/>
      <color rgb="FF555555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8"/>
      <color rgb="FFAAAAAA"/>
      <name val="Calibri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D9E2F3"/>
        <bgColor rgb="FFE4EAF5"/>
      </patternFill>
    </fill>
    <fill>
      <patternFill patternType="solid">
        <fgColor rgb="FFFFFDE0"/>
        <bgColor rgb="FFFFFFFF"/>
      </patternFill>
    </fill>
    <fill>
      <patternFill patternType="solid">
        <fgColor rgb="FF8E8E8E"/>
        <bgColor rgb="FF999999"/>
      </patternFill>
    </fill>
    <fill>
      <patternFill patternType="solid">
        <fgColor rgb="FF2E8B57"/>
        <bgColor rgb="FF008080"/>
      </patternFill>
    </fill>
    <fill>
      <patternFill patternType="solid">
        <fgColor rgb="FF2F5597"/>
        <bgColor rgb="FF1F5FA8"/>
      </patternFill>
    </fill>
    <fill>
      <patternFill patternType="solid">
        <fgColor rgb="FF444444"/>
        <bgColor rgb="FF555555"/>
      </patternFill>
    </fill>
    <fill>
      <patternFill patternType="solid">
        <fgColor rgb="FFF2F2F2"/>
        <bgColor rgb="FFE3F3EA"/>
      </patternFill>
    </fill>
    <fill>
      <patternFill patternType="solid">
        <fgColor rgb="FFE3F3EA"/>
        <bgColor rgb="FFE4EAF5"/>
      </patternFill>
    </fill>
    <fill>
      <patternFill patternType="solid">
        <fgColor rgb="FFE4EAF5"/>
        <bgColor rgb="FFE3F3EA"/>
      </patternFill>
    </fill>
    <fill>
      <patternFill patternType="solid">
        <fgColor rgb="FFFFFFFF"/>
        <bgColor rgb="FFFFFD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3D98C"/>
      </left>
      <right style="thin">
        <color rgb="FFE3D98C"/>
      </right>
      <top style="thin">
        <color rgb="FFE3D98C"/>
      </top>
      <bottom style="thin">
        <color rgb="FFE3D98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8E8E8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E3F3EA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E4EAF5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ont>
        <name val="Calibri"/>
        <charset val="1"/>
        <family val="0"/>
        <b val="1"/>
        <color rgb="FFC0392B"/>
        <sz val="10"/>
      </font>
    </dxf>
    <dxf>
      <font>
        <name val="Calibri"/>
        <charset val="1"/>
        <family val="0"/>
        <b val="1"/>
        <color rgb="FF1F5FA8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E8E8E"/>
      <rgbColor rgb="FF9999FF"/>
      <rgbColor rgb="FF993366"/>
      <rgbColor rgb="FFFFFDE0"/>
      <rgbColor rgb="FFE3F3EA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5"/>
      <rgbColor rgb="FFF2F2F2"/>
      <rgbColor rgb="FFFFFF99"/>
      <rgbColor rgb="FFD9E2F3"/>
      <rgbColor rgb="FFFF99CC"/>
      <rgbColor rgb="FFCC99FF"/>
      <rgbColor rgb="FFE3D98C"/>
      <rgbColor rgb="FF2F5597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8B57"/>
      <rgbColor rgb="FF003300"/>
      <rgbColor rgb="FF333300"/>
      <rgbColor rgb="FFC0392B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Itens" displayName="TabelaItens" ref="A6:V31" headerRowCount="1" totalsRowCount="0" totalsRowShown="0">
  <autoFilter ref="A6:V31"/>
  <tableColumns count="22">
    <tableColumn id="1" name="Item"/>
    <tableColumn id="2" name="Nº do Contrato"/>
    <tableColumn id="3" name="Descrição das Atividades"/>
    <tableColumn id="4" name="Unidade"/>
    <tableColumn id="5" name="Quantidade"/>
    <tableColumn id="6" name="Preço Unit. (R$)"/>
    <tableColumn id="7" name="Total"/>
    <tableColumn id="8" name="Índice de Reajuste"/>
    <tableColumn id="9" name="Valor Atualizado (R$)"/>
    <tableColumn id="10" name="Nome da Empresa"/>
    <tableColumn id="11" name="Quantidade2"/>
    <tableColumn id="12" name="Preço Unitário (R$)"/>
    <tableColumn id="13" name="Valor Contratado"/>
    <tableColumn id="14" name="Valor Pago"/>
    <tableColumn id="15" name="Saldo"/>
    <tableColumn id="16" name="R$"/>
    <tableColumn id="17" name="%"/>
    <tableColumn id="18" name="Data de Entrega ao Cliente"/>
    <tableColumn id="19" name="Data da Medição"/>
    <tableColumn id="20" name="Nº da Medição"/>
    <tableColumn id="21" name="Taxa de Recorrência (meses)"/>
    <tableColumn id="22" name="Grupo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9" min="4" style="0" width="14"/>
    <col collapsed="false" customWidth="true" hidden="false" outlineLevel="0" max="10" min="10" style="0" width="18"/>
    <col collapsed="false" customWidth="true" hidden="false" outlineLevel="0" max="21" min="11" style="0" width="14"/>
    <col collapsed="false" customWidth="true" hidden="true" outlineLevel="0" max="22" min="22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G3" s="4" t="s">
        <v>2</v>
      </c>
      <c r="H3" s="5"/>
      <c r="I3" s="6"/>
    </row>
    <row r="4" customFormat="false" ht="15" hidden="false" customHeight="false" outlineLevel="0" collapsed="false">
      <c r="G4" s="4" t="s">
        <v>3</v>
      </c>
      <c r="H4" s="5"/>
      <c r="I4" s="6"/>
    </row>
    <row r="5" customFormat="false" ht="30" hidden="false" customHeight="true" outlineLevel="0" collapsed="false">
      <c r="A5" s="7" t="s">
        <v>4</v>
      </c>
      <c r="B5" s="7"/>
      <c r="C5" s="7"/>
      <c r="D5" s="8" t="s">
        <v>5</v>
      </c>
      <c r="E5" s="8"/>
      <c r="F5" s="8"/>
      <c r="G5" s="8"/>
      <c r="H5" s="9" t="s">
        <v>6</v>
      </c>
      <c r="I5" s="9"/>
      <c r="J5" s="7" t="s">
        <v>7</v>
      </c>
      <c r="K5" s="7"/>
      <c r="L5" s="7"/>
      <c r="M5" s="7"/>
      <c r="N5" s="7"/>
      <c r="O5" s="7"/>
      <c r="P5" s="7" t="s">
        <v>8</v>
      </c>
      <c r="Q5" s="7"/>
      <c r="R5" s="7" t="s">
        <v>9</v>
      </c>
      <c r="S5" s="7"/>
      <c r="T5" s="7"/>
      <c r="U5" s="7"/>
    </row>
    <row r="6" customFormat="false" ht="31.5" hidden="false" customHeight="true" outlineLevel="0" collapsed="false">
      <c r="A6" s="10" t="s">
        <v>10</v>
      </c>
      <c r="B6" s="10" t="s">
        <v>11</v>
      </c>
      <c r="C6" s="10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2" t="s">
        <v>17</v>
      </c>
      <c r="I6" s="12" t="s">
        <v>18</v>
      </c>
      <c r="J6" s="10" t="s">
        <v>19</v>
      </c>
      <c r="K6" s="10" t="s">
        <v>14</v>
      </c>
      <c r="L6" s="10" t="s">
        <v>20</v>
      </c>
      <c r="M6" s="10" t="s">
        <v>21</v>
      </c>
      <c r="N6" s="10" t="s">
        <v>22</v>
      </c>
      <c r="O6" s="10" t="s">
        <v>23</v>
      </c>
      <c r="P6" s="10" t="s">
        <v>24</v>
      </c>
      <c r="Q6" s="10" t="s">
        <v>25</v>
      </c>
      <c r="R6" s="10" t="s">
        <v>26</v>
      </c>
      <c r="S6" s="10" t="s">
        <v>27</v>
      </c>
      <c r="T6" s="10" t="s">
        <v>28</v>
      </c>
      <c r="U6" s="10" t="s">
        <v>29</v>
      </c>
      <c r="V6" s="13" t="s">
        <v>30</v>
      </c>
    </row>
    <row r="7" customFormat="false" ht="15" hidden="false" customHeight="false" outlineLevel="0" collapsed="false">
      <c r="A7" s="14"/>
      <c r="B7" s="14"/>
      <c r="C7" s="14"/>
      <c r="D7" s="15"/>
      <c r="E7" s="15"/>
      <c r="F7" s="16"/>
      <c r="G7" s="16" t="n">
        <f aca="false">E7*F7</f>
        <v>0</v>
      </c>
      <c r="H7" s="17" t="str">
        <f aca="false">IFERROR(1+($I$4-$I$3)/$I$3,"")</f>
        <v/>
      </c>
      <c r="I7" s="18" t="str">
        <f aca="false">IFERROR(G7*H7,"")</f>
        <v/>
      </c>
      <c r="J7" s="14"/>
      <c r="K7" s="19"/>
      <c r="L7" s="19"/>
      <c r="M7" s="19" t="n">
        <f aca="false">K7*L7</f>
        <v>0</v>
      </c>
      <c r="N7" s="19"/>
      <c r="O7" s="19" t="n">
        <f aca="false">IFERROR(M7-N7,"")</f>
        <v>0</v>
      </c>
      <c r="P7" s="19" t="str">
        <f aca="false">IF(C7="","",IFERROR(I7-SUMIF($V$7:$V$31,V7,$M$7:$M$31),""))</f>
        <v/>
      </c>
      <c r="Q7" s="20" t="str">
        <f aca="false">IF(C7="","",IFERROR(IF(I7=0,"",(I7-SUMIF($V$7:$V$31,V7,$M$7:$M$31))/I7),""))</f>
        <v/>
      </c>
      <c r="R7" s="21"/>
      <c r="S7" s="21"/>
      <c r="T7" s="14"/>
      <c r="U7" s="22" t="str">
        <f aca="false">IF(C7="","",IFERROR(DATEDIF(R7,S7,"m"),""))</f>
        <v/>
      </c>
      <c r="V7" s="23" t="str">
        <f aca="false">IF(C7&lt;&gt;"",ROW(),"")</f>
        <v/>
      </c>
    </row>
    <row r="8" customFormat="false" ht="15" hidden="false" customHeight="false" outlineLevel="0" collapsed="false">
      <c r="A8" s="24"/>
      <c r="B8" s="24"/>
      <c r="C8" s="24"/>
      <c r="D8" s="24"/>
      <c r="E8" s="24"/>
      <c r="F8" s="25"/>
      <c r="G8" s="25" t="n">
        <f aca="false">E8*F8</f>
        <v>0</v>
      </c>
      <c r="H8" s="26" t="str">
        <f aca="false">IFERROR(1+($I$4-$I$3)/$I$3,"")</f>
        <v/>
      </c>
      <c r="I8" s="25" t="str">
        <f aca="false">IFERROR(G8*H8,"")</f>
        <v/>
      </c>
      <c r="J8" s="24"/>
      <c r="K8" s="25"/>
      <c r="L8" s="25"/>
      <c r="M8" s="25" t="n">
        <f aca="false">K8*L8</f>
        <v>0</v>
      </c>
      <c r="N8" s="25"/>
      <c r="O8" s="25" t="n">
        <f aca="false">IFERROR(M8-N8,"")</f>
        <v>0</v>
      </c>
      <c r="P8" s="25" t="str">
        <f aca="false">IF(C8="","",IFERROR(I8-SUMIF($V$7:$V$31,V8,$M$7:$M$31),""))</f>
        <v/>
      </c>
      <c r="Q8" s="27" t="str">
        <f aca="false">IF(C8="","",IFERROR(IF(I8=0,"",(I8-SUMIF($V$7:$V$31,V8,$M$7:$M$31))/I8),""))</f>
        <v/>
      </c>
      <c r="R8" s="28"/>
      <c r="S8" s="28"/>
      <c r="T8" s="24"/>
      <c r="U8" s="29" t="str">
        <f aca="false">IF(C8="","",IFERROR(DATEDIF(R8,S8,"m"),""))</f>
        <v/>
      </c>
      <c r="V8" s="23" t="str">
        <f aca="false">IF(C8&lt;&gt;"",ROW(),V7)</f>
        <v/>
      </c>
    </row>
    <row r="9" customFormat="false" ht="15" hidden="false" customHeight="false" outlineLevel="0" collapsed="false">
      <c r="A9" s="14"/>
      <c r="B9" s="14"/>
      <c r="C9" s="14"/>
      <c r="D9" s="15"/>
      <c r="E9" s="15"/>
      <c r="F9" s="16"/>
      <c r="G9" s="16" t="n">
        <f aca="false">E9*F9</f>
        <v>0</v>
      </c>
      <c r="H9" s="17" t="str">
        <f aca="false">IFERROR(1+($I$4-$I$3)/$I$3,"")</f>
        <v/>
      </c>
      <c r="I9" s="18" t="str">
        <f aca="false">IFERROR(G9*H9,"")</f>
        <v/>
      </c>
      <c r="J9" s="14"/>
      <c r="K9" s="19"/>
      <c r="L9" s="19"/>
      <c r="M9" s="19" t="n">
        <f aca="false">K9*L9</f>
        <v>0</v>
      </c>
      <c r="N9" s="19"/>
      <c r="O9" s="19" t="n">
        <f aca="false">IFERROR(M9-N9,"")</f>
        <v>0</v>
      </c>
      <c r="P9" s="19" t="str">
        <f aca="false">IF(C9="","",IFERROR(I9-SUMIF($V$7:$V$31,V9,$M$7:$M$31),""))</f>
        <v/>
      </c>
      <c r="Q9" s="20" t="str">
        <f aca="false">IF(C9="","",IFERROR(IF(I9=0,"",(I9-SUMIF($V$7:$V$31,V9,$M$7:$M$31))/I9),""))</f>
        <v/>
      </c>
      <c r="R9" s="21"/>
      <c r="S9" s="21"/>
      <c r="T9" s="14"/>
      <c r="U9" s="22" t="str">
        <f aca="false">IF(C9="","",IFERROR(DATEDIF(R9,S9,"m"),""))</f>
        <v/>
      </c>
      <c r="V9" s="23" t="str">
        <f aca="false">IF(C9&lt;&gt;"",ROW(),V8)</f>
        <v/>
      </c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5"/>
      <c r="G10" s="25" t="n">
        <f aca="false">E10*F10</f>
        <v>0</v>
      </c>
      <c r="H10" s="26" t="str">
        <f aca="false">IFERROR(1+($I$4-$I$3)/$I$3,"")</f>
        <v/>
      </c>
      <c r="I10" s="25" t="str">
        <f aca="false">IFERROR(G10*H10,"")</f>
        <v/>
      </c>
      <c r="J10" s="24"/>
      <c r="K10" s="25"/>
      <c r="L10" s="25"/>
      <c r="M10" s="25" t="n">
        <f aca="false">K10*L10</f>
        <v>0</v>
      </c>
      <c r="N10" s="25"/>
      <c r="O10" s="25" t="n">
        <f aca="false">IFERROR(M10-N10,"")</f>
        <v>0</v>
      </c>
      <c r="P10" s="25" t="str">
        <f aca="false">IF(C10="","",IFERROR(I10-SUMIF($V$7:$V$31,V10,$M$7:$M$31),""))</f>
        <v/>
      </c>
      <c r="Q10" s="27" t="str">
        <f aca="false">IF(C10="","",IFERROR(IF(I10=0,"",(I10-SUMIF($V$7:$V$31,V10,$M$7:$M$31))/I10),""))</f>
        <v/>
      </c>
      <c r="R10" s="28"/>
      <c r="S10" s="28"/>
      <c r="T10" s="24"/>
      <c r="U10" s="29" t="str">
        <f aca="false">IF(C10="","",IFERROR(DATEDIF(R10,S10,"m"),""))</f>
        <v/>
      </c>
      <c r="V10" s="23" t="str">
        <f aca="false">IF(C10&lt;&gt;"",ROW(),V9)</f>
        <v/>
      </c>
    </row>
    <row r="11" customFormat="false" ht="15" hidden="false" customHeight="false" outlineLevel="0" collapsed="false">
      <c r="A11" s="14"/>
      <c r="B11" s="14"/>
      <c r="C11" s="14"/>
      <c r="D11" s="15"/>
      <c r="E11" s="15"/>
      <c r="F11" s="16"/>
      <c r="G11" s="16" t="n">
        <f aca="false">E11*F11</f>
        <v>0</v>
      </c>
      <c r="H11" s="17" t="str">
        <f aca="false">IFERROR(1+($I$4-$I$3)/$I$3,"")</f>
        <v/>
      </c>
      <c r="I11" s="18" t="str">
        <f aca="false">IFERROR(G11*H11,"")</f>
        <v/>
      </c>
      <c r="J11" s="14"/>
      <c r="K11" s="19"/>
      <c r="L11" s="19"/>
      <c r="M11" s="19" t="n">
        <f aca="false">K11*L11</f>
        <v>0</v>
      </c>
      <c r="N11" s="19"/>
      <c r="O11" s="19" t="n">
        <f aca="false">IFERROR(M11-N11,"")</f>
        <v>0</v>
      </c>
      <c r="P11" s="19" t="str">
        <f aca="false">IF(C11="","",IFERROR(I11-SUMIF($V$7:$V$31,V11,$M$7:$M$31),""))</f>
        <v/>
      </c>
      <c r="Q11" s="20" t="str">
        <f aca="false">IF(C11="","",IFERROR(IF(I11=0,"",(I11-SUMIF($V$7:$V$31,V11,$M$7:$M$31))/I11),""))</f>
        <v/>
      </c>
      <c r="R11" s="21"/>
      <c r="S11" s="21"/>
      <c r="T11" s="14"/>
      <c r="U11" s="22" t="str">
        <f aca="false">IF(C11="","",IFERROR(DATEDIF(R11,S11,"m"),""))</f>
        <v/>
      </c>
      <c r="V11" s="23" t="str">
        <f aca="false">IF(C11&lt;&gt;"",ROW(),V10)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5"/>
      <c r="G12" s="25" t="n">
        <f aca="false">E12*F12</f>
        <v>0</v>
      </c>
      <c r="H12" s="26" t="str">
        <f aca="false">IFERROR(1+($I$4-$I$3)/$I$3,"")</f>
        <v/>
      </c>
      <c r="I12" s="25" t="str">
        <f aca="false">IFERROR(G12*H12,"")</f>
        <v/>
      </c>
      <c r="J12" s="24"/>
      <c r="K12" s="25"/>
      <c r="L12" s="25"/>
      <c r="M12" s="25" t="n">
        <f aca="false">K12*L12</f>
        <v>0</v>
      </c>
      <c r="N12" s="25"/>
      <c r="O12" s="25" t="n">
        <f aca="false">IFERROR(M12-N12,"")</f>
        <v>0</v>
      </c>
      <c r="P12" s="25" t="str">
        <f aca="false">IF(C12="","",IFERROR(I12-SUMIF($V$7:$V$31,V12,$M$7:$M$31),""))</f>
        <v/>
      </c>
      <c r="Q12" s="27" t="str">
        <f aca="false">IF(C12="","",IFERROR(IF(I12=0,"",(I12-SUMIF($V$7:$V$31,V12,$M$7:$M$31))/I12),""))</f>
        <v/>
      </c>
      <c r="R12" s="28"/>
      <c r="S12" s="28"/>
      <c r="T12" s="24"/>
      <c r="U12" s="29" t="str">
        <f aca="false">IF(C12="","",IFERROR(DATEDIF(R12,S12,"m"),""))</f>
        <v/>
      </c>
      <c r="V12" s="23" t="str">
        <f aca="false">IF(C12&lt;&gt;"",ROW(),V11)</f>
        <v/>
      </c>
    </row>
    <row r="13" customFormat="false" ht="15" hidden="false" customHeight="false" outlineLevel="0" collapsed="false">
      <c r="A13" s="14"/>
      <c r="B13" s="14"/>
      <c r="C13" s="14"/>
      <c r="D13" s="15"/>
      <c r="E13" s="15"/>
      <c r="F13" s="16"/>
      <c r="G13" s="16" t="n">
        <f aca="false">E13*F13</f>
        <v>0</v>
      </c>
      <c r="H13" s="17" t="str">
        <f aca="false">IFERROR(1+($I$4-$I$3)/$I$3,"")</f>
        <v/>
      </c>
      <c r="I13" s="18" t="str">
        <f aca="false">IFERROR(G13*H13,"")</f>
        <v/>
      </c>
      <c r="J13" s="14"/>
      <c r="K13" s="19"/>
      <c r="L13" s="19"/>
      <c r="M13" s="19" t="n">
        <f aca="false">K13*L13</f>
        <v>0</v>
      </c>
      <c r="N13" s="19"/>
      <c r="O13" s="19" t="n">
        <f aca="false">IFERROR(M13-N13,"")</f>
        <v>0</v>
      </c>
      <c r="P13" s="19" t="str">
        <f aca="false">IF(C13="","",IFERROR(I13-SUMIF($V$7:$V$31,V13,$M$7:$M$31),""))</f>
        <v/>
      </c>
      <c r="Q13" s="20" t="str">
        <f aca="false">IF(C13="","",IFERROR(IF(I13=0,"",(I13-SUMIF($V$7:$V$31,V13,$M$7:$M$31))/I13),""))</f>
        <v/>
      </c>
      <c r="R13" s="21"/>
      <c r="S13" s="21"/>
      <c r="T13" s="14"/>
      <c r="U13" s="22" t="str">
        <f aca="false">IF(C13="","",IFERROR(DATEDIF(R13,S13,"m"),""))</f>
        <v/>
      </c>
      <c r="V13" s="23" t="str">
        <f aca="false">IF(C13&lt;&gt;"",ROW(),V12)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5"/>
      <c r="G14" s="25" t="n">
        <f aca="false">E14*F14</f>
        <v>0</v>
      </c>
      <c r="H14" s="26" t="str">
        <f aca="false">IFERROR(1+($I$4-$I$3)/$I$3,"")</f>
        <v/>
      </c>
      <c r="I14" s="25" t="str">
        <f aca="false">IFERROR(G14*H14,"")</f>
        <v/>
      </c>
      <c r="J14" s="24"/>
      <c r="K14" s="25"/>
      <c r="L14" s="25"/>
      <c r="M14" s="25" t="n">
        <f aca="false">K14*L14</f>
        <v>0</v>
      </c>
      <c r="N14" s="25"/>
      <c r="O14" s="25" t="n">
        <f aca="false">IFERROR(M14-N14,"")</f>
        <v>0</v>
      </c>
      <c r="P14" s="25" t="str">
        <f aca="false">IF(C14="","",IFERROR(I14-SUMIF($V$7:$V$31,V14,$M$7:$M$31),""))</f>
        <v/>
      </c>
      <c r="Q14" s="27" t="str">
        <f aca="false">IF(C14="","",IFERROR(IF(I14=0,"",(I14-SUMIF($V$7:$V$31,V14,$M$7:$M$31))/I14),""))</f>
        <v/>
      </c>
      <c r="R14" s="28"/>
      <c r="S14" s="28"/>
      <c r="T14" s="24"/>
      <c r="U14" s="29" t="str">
        <f aca="false">IF(C14="","",IFERROR(DATEDIF(R14,S14,"m"),""))</f>
        <v/>
      </c>
      <c r="V14" s="23" t="str">
        <f aca="false">IF(C14&lt;&gt;"",ROW(),V13)</f>
        <v/>
      </c>
    </row>
    <row r="15" customFormat="false" ht="15" hidden="false" customHeight="false" outlineLevel="0" collapsed="false">
      <c r="A15" s="14"/>
      <c r="B15" s="14"/>
      <c r="C15" s="14"/>
      <c r="D15" s="15"/>
      <c r="E15" s="15"/>
      <c r="F15" s="16"/>
      <c r="G15" s="16" t="n">
        <f aca="false">E15*F15</f>
        <v>0</v>
      </c>
      <c r="H15" s="17" t="str">
        <f aca="false">IFERROR(1+($I$4-$I$3)/$I$3,"")</f>
        <v/>
      </c>
      <c r="I15" s="18" t="str">
        <f aca="false">IFERROR(G15*H15,"")</f>
        <v/>
      </c>
      <c r="J15" s="14"/>
      <c r="K15" s="19"/>
      <c r="L15" s="19"/>
      <c r="M15" s="19" t="n">
        <f aca="false">K15*L15</f>
        <v>0</v>
      </c>
      <c r="N15" s="19"/>
      <c r="O15" s="19" t="n">
        <f aca="false">IFERROR(M15-N15,"")</f>
        <v>0</v>
      </c>
      <c r="P15" s="19" t="str">
        <f aca="false">IF(C15="","",IFERROR(I15-SUMIF($V$7:$V$31,V15,$M$7:$M$31),""))</f>
        <v/>
      </c>
      <c r="Q15" s="20" t="str">
        <f aca="false">IF(C15="","",IFERROR(IF(I15=0,"",(I15-SUMIF($V$7:$V$31,V15,$M$7:$M$31))/I15),""))</f>
        <v/>
      </c>
      <c r="R15" s="21"/>
      <c r="S15" s="21"/>
      <c r="T15" s="14"/>
      <c r="U15" s="22" t="str">
        <f aca="false">IF(C15="","",IFERROR(DATEDIF(R15,S15,"m"),""))</f>
        <v/>
      </c>
      <c r="V15" s="23" t="str">
        <f aca="false">IF(C15&lt;&gt;"",ROW(),V14)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5"/>
      <c r="G16" s="25" t="n">
        <f aca="false">E16*F16</f>
        <v>0</v>
      </c>
      <c r="H16" s="26" t="str">
        <f aca="false">IFERROR(1+($I$4-$I$3)/$I$3,"")</f>
        <v/>
      </c>
      <c r="I16" s="25" t="str">
        <f aca="false">IFERROR(G16*H16,"")</f>
        <v/>
      </c>
      <c r="J16" s="24"/>
      <c r="K16" s="25"/>
      <c r="L16" s="25"/>
      <c r="M16" s="25" t="n">
        <f aca="false">K16*L16</f>
        <v>0</v>
      </c>
      <c r="N16" s="25"/>
      <c r="O16" s="25" t="n">
        <f aca="false">IFERROR(M16-N16,"")</f>
        <v>0</v>
      </c>
      <c r="P16" s="25" t="str">
        <f aca="false">IF(C16="","",IFERROR(I16-SUMIF($V$7:$V$31,V16,$M$7:$M$31),""))</f>
        <v/>
      </c>
      <c r="Q16" s="27" t="str">
        <f aca="false">IF(C16="","",IFERROR(IF(I16=0,"",(I16-SUMIF($V$7:$V$31,V16,$M$7:$M$31))/I16),""))</f>
        <v/>
      </c>
      <c r="R16" s="28"/>
      <c r="S16" s="28"/>
      <c r="T16" s="24"/>
      <c r="U16" s="29" t="str">
        <f aca="false">IF(C16="","",IFERROR(DATEDIF(R16,S16,"m"),""))</f>
        <v/>
      </c>
      <c r="V16" s="23" t="str">
        <f aca="false">IF(C16&lt;&gt;"",ROW(),V15)</f>
        <v/>
      </c>
    </row>
    <row r="17" customFormat="false" ht="15" hidden="false" customHeight="false" outlineLevel="0" collapsed="false">
      <c r="A17" s="14"/>
      <c r="B17" s="14"/>
      <c r="C17" s="14"/>
      <c r="D17" s="15"/>
      <c r="E17" s="15"/>
      <c r="F17" s="16"/>
      <c r="G17" s="16" t="n">
        <f aca="false">E17*F17</f>
        <v>0</v>
      </c>
      <c r="H17" s="17" t="str">
        <f aca="false">IFERROR(1+($I$4-$I$3)/$I$3,"")</f>
        <v/>
      </c>
      <c r="I17" s="18" t="str">
        <f aca="false">IFERROR(G17*H17,"")</f>
        <v/>
      </c>
      <c r="J17" s="14"/>
      <c r="K17" s="19"/>
      <c r="L17" s="19"/>
      <c r="M17" s="19" t="n">
        <f aca="false">K17*L17</f>
        <v>0</v>
      </c>
      <c r="N17" s="19"/>
      <c r="O17" s="19" t="n">
        <f aca="false">IFERROR(M17-N17,"")</f>
        <v>0</v>
      </c>
      <c r="P17" s="19" t="str">
        <f aca="false">IF(C17="","",IFERROR(I17-SUMIF($V$7:$V$31,V17,$M$7:$M$31),""))</f>
        <v/>
      </c>
      <c r="Q17" s="20" t="str">
        <f aca="false">IF(C17="","",IFERROR(IF(I17=0,"",(I17-SUMIF($V$7:$V$31,V17,$M$7:$M$31))/I17),""))</f>
        <v/>
      </c>
      <c r="R17" s="21"/>
      <c r="S17" s="21"/>
      <c r="T17" s="14"/>
      <c r="U17" s="22" t="str">
        <f aca="false">IF(C17="","",IFERROR(DATEDIF(R17,S17,"m"),""))</f>
        <v/>
      </c>
      <c r="V17" s="23" t="str">
        <f aca="false">IF(C17&lt;&gt;"",ROW(),V16)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5"/>
      <c r="G18" s="25" t="n">
        <f aca="false">E18*F18</f>
        <v>0</v>
      </c>
      <c r="H18" s="26" t="str">
        <f aca="false">IFERROR(1+($I$4-$I$3)/$I$3,"")</f>
        <v/>
      </c>
      <c r="I18" s="25" t="str">
        <f aca="false">IFERROR(G18*H18,"")</f>
        <v/>
      </c>
      <c r="J18" s="24"/>
      <c r="K18" s="25"/>
      <c r="L18" s="25"/>
      <c r="M18" s="25" t="n">
        <f aca="false">K18*L18</f>
        <v>0</v>
      </c>
      <c r="N18" s="25"/>
      <c r="O18" s="25" t="n">
        <f aca="false">IFERROR(M18-N18,"")</f>
        <v>0</v>
      </c>
      <c r="P18" s="25" t="str">
        <f aca="false">IF(C18="","",IFERROR(I18-SUMIF($V$7:$V$31,V18,$M$7:$M$31),""))</f>
        <v/>
      </c>
      <c r="Q18" s="27" t="str">
        <f aca="false">IF(C18="","",IFERROR(IF(I18=0,"",(I18-SUMIF($V$7:$V$31,V18,$M$7:$M$31))/I18),""))</f>
        <v/>
      </c>
      <c r="R18" s="28"/>
      <c r="S18" s="28"/>
      <c r="T18" s="24"/>
      <c r="U18" s="29" t="str">
        <f aca="false">IF(C18="","",IFERROR(DATEDIF(R18,S18,"m"),""))</f>
        <v/>
      </c>
      <c r="V18" s="23" t="str">
        <f aca="false">IF(C18&lt;&gt;"",ROW(),V17)</f>
        <v/>
      </c>
    </row>
    <row r="19" customFormat="false" ht="15" hidden="false" customHeight="false" outlineLevel="0" collapsed="false">
      <c r="A19" s="14"/>
      <c r="B19" s="14"/>
      <c r="C19" s="14"/>
      <c r="D19" s="15"/>
      <c r="E19" s="15"/>
      <c r="F19" s="16"/>
      <c r="G19" s="16" t="n">
        <f aca="false">E19*F19</f>
        <v>0</v>
      </c>
      <c r="H19" s="17" t="str">
        <f aca="false">IFERROR(1+($I$4-$I$3)/$I$3,"")</f>
        <v/>
      </c>
      <c r="I19" s="18" t="str">
        <f aca="false">IFERROR(G19*H19,"")</f>
        <v/>
      </c>
      <c r="J19" s="14"/>
      <c r="K19" s="19"/>
      <c r="L19" s="19"/>
      <c r="M19" s="19" t="n">
        <f aca="false">K19*L19</f>
        <v>0</v>
      </c>
      <c r="N19" s="19"/>
      <c r="O19" s="19" t="n">
        <f aca="false">IFERROR(M19-N19,"")</f>
        <v>0</v>
      </c>
      <c r="P19" s="19" t="str">
        <f aca="false">IF(C19="","",IFERROR(I19-SUMIF($V$7:$V$31,V19,$M$7:$M$31),""))</f>
        <v/>
      </c>
      <c r="Q19" s="20" t="str">
        <f aca="false">IF(C19="","",IFERROR(IF(I19=0,"",(I19-SUMIF($V$7:$V$31,V19,$M$7:$M$31))/I19),""))</f>
        <v/>
      </c>
      <c r="R19" s="21"/>
      <c r="S19" s="21"/>
      <c r="T19" s="14"/>
      <c r="U19" s="22" t="str">
        <f aca="false">IF(C19="","",IFERROR(DATEDIF(R19,S19,"m"),""))</f>
        <v/>
      </c>
      <c r="V19" s="23" t="str">
        <f aca="false">IF(C19&lt;&gt;"",ROW(),V18)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5"/>
      <c r="G20" s="25" t="n">
        <f aca="false">E20*F20</f>
        <v>0</v>
      </c>
      <c r="H20" s="26" t="str">
        <f aca="false">IFERROR(1+($I$4-$I$3)/$I$3,"")</f>
        <v/>
      </c>
      <c r="I20" s="25" t="str">
        <f aca="false">IFERROR(G20*H20,"")</f>
        <v/>
      </c>
      <c r="J20" s="24"/>
      <c r="K20" s="25"/>
      <c r="L20" s="25"/>
      <c r="M20" s="25" t="n">
        <f aca="false">K20*L20</f>
        <v>0</v>
      </c>
      <c r="N20" s="25"/>
      <c r="O20" s="25" t="n">
        <f aca="false">IFERROR(M20-N20,"")</f>
        <v>0</v>
      </c>
      <c r="P20" s="25" t="str">
        <f aca="false">IF(C20="","",IFERROR(I20-SUMIF($V$7:$V$31,V20,$M$7:$M$31),""))</f>
        <v/>
      </c>
      <c r="Q20" s="27" t="str">
        <f aca="false">IF(C20="","",IFERROR(IF(I20=0,"",(I20-SUMIF($V$7:$V$31,V20,$M$7:$M$31))/I20),""))</f>
        <v/>
      </c>
      <c r="R20" s="28"/>
      <c r="S20" s="28"/>
      <c r="T20" s="24"/>
      <c r="U20" s="29" t="str">
        <f aca="false">IF(C20="","",IFERROR(DATEDIF(R20,S20,"m"),""))</f>
        <v/>
      </c>
      <c r="V20" s="23" t="str">
        <f aca="false">IF(C20&lt;&gt;"",ROW(),V19)</f>
        <v/>
      </c>
    </row>
    <row r="21" customFormat="false" ht="15" hidden="false" customHeight="false" outlineLevel="0" collapsed="false">
      <c r="A21" s="14"/>
      <c r="B21" s="14"/>
      <c r="C21" s="14"/>
      <c r="D21" s="15"/>
      <c r="E21" s="15"/>
      <c r="F21" s="16"/>
      <c r="G21" s="16" t="n">
        <f aca="false">E21*F21</f>
        <v>0</v>
      </c>
      <c r="H21" s="17" t="str">
        <f aca="false">IFERROR(1+($I$4-$I$3)/$I$3,"")</f>
        <v/>
      </c>
      <c r="I21" s="18" t="str">
        <f aca="false">IFERROR(G21*H21,"")</f>
        <v/>
      </c>
      <c r="J21" s="14"/>
      <c r="K21" s="19"/>
      <c r="L21" s="19"/>
      <c r="M21" s="19" t="n">
        <f aca="false">K21*L21</f>
        <v>0</v>
      </c>
      <c r="N21" s="19"/>
      <c r="O21" s="19" t="n">
        <f aca="false">IFERROR(M21-N21,"")</f>
        <v>0</v>
      </c>
      <c r="P21" s="19" t="str">
        <f aca="false">IF(C21="","",IFERROR(I21-SUMIF($V$7:$V$31,V21,$M$7:$M$31),""))</f>
        <v/>
      </c>
      <c r="Q21" s="20" t="str">
        <f aca="false">IF(C21="","",IFERROR(IF(I21=0,"",(I21-SUMIF($V$7:$V$31,V21,$M$7:$M$31))/I21),""))</f>
        <v/>
      </c>
      <c r="R21" s="21"/>
      <c r="S21" s="21"/>
      <c r="T21" s="14"/>
      <c r="U21" s="22" t="str">
        <f aca="false">IF(C21="","",IFERROR(DATEDIF(R21,S21,"m"),""))</f>
        <v/>
      </c>
      <c r="V21" s="23" t="str">
        <f aca="false">IF(C21&lt;&gt;"",ROW(),V20)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5"/>
      <c r="G22" s="25" t="n">
        <f aca="false">E22*F22</f>
        <v>0</v>
      </c>
      <c r="H22" s="26" t="str">
        <f aca="false">IFERROR(1+($I$4-$I$3)/$I$3,"")</f>
        <v/>
      </c>
      <c r="I22" s="25" t="str">
        <f aca="false">IFERROR(G22*H22,"")</f>
        <v/>
      </c>
      <c r="J22" s="24"/>
      <c r="K22" s="25"/>
      <c r="L22" s="25"/>
      <c r="M22" s="25" t="n">
        <f aca="false">K22*L22</f>
        <v>0</v>
      </c>
      <c r="N22" s="25"/>
      <c r="O22" s="25" t="n">
        <f aca="false">IFERROR(M22-N22,"")</f>
        <v>0</v>
      </c>
      <c r="P22" s="25" t="str">
        <f aca="false">IF(C22="","",IFERROR(I22-SUMIF($V$7:$V$31,V22,$M$7:$M$31),""))</f>
        <v/>
      </c>
      <c r="Q22" s="27" t="str">
        <f aca="false">IF(C22="","",IFERROR(IF(I22=0,"",(I22-SUMIF($V$7:$V$31,V22,$M$7:$M$31))/I22),""))</f>
        <v/>
      </c>
      <c r="R22" s="28"/>
      <c r="S22" s="28"/>
      <c r="T22" s="24"/>
      <c r="U22" s="29" t="str">
        <f aca="false">IF(C22="","",IFERROR(DATEDIF(R22,S22,"m"),""))</f>
        <v/>
      </c>
      <c r="V22" s="23" t="str">
        <f aca="false">IF(C22&lt;&gt;"",ROW(),V21)</f>
        <v/>
      </c>
    </row>
    <row r="23" customFormat="false" ht="15" hidden="false" customHeight="false" outlineLevel="0" collapsed="false">
      <c r="A23" s="14"/>
      <c r="B23" s="14"/>
      <c r="C23" s="14"/>
      <c r="D23" s="15"/>
      <c r="E23" s="15"/>
      <c r="F23" s="16"/>
      <c r="G23" s="16" t="n">
        <f aca="false">E23*F23</f>
        <v>0</v>
      </c>
      <c r="H23" s="17" t="str">
        <f aca="false">IFERROR(1+($I$4-$I$3)/$I$3,"")</f>
        <v/>
      </c>
      <c r="I23" s="18" t="str">
        <f aca="false">IFERROR(G23*H23,"")</f>
        <v/>
      </c>
      <c r="J23" s="14"/>
      <c r="K23" s="19"/>
      <c r="L23" s="19"/>
      <c r="M23" s="19" t="n">
        <f aca="false">K23*L23</f>
        <v>0</v>
      </c>
      <c r="N23" s="19"/>
      <c r="O23" s="19" t="n">
        <f aca="false">IFERROR(M23-N23,"")</f>
        <v>0</v>
      </c>
      <c r="P23" s="19" t="str">
        <f aca="false">IF(C23="","",IFERROR(I23-SUMIF($V$7:$V$31,V23,$M$7:$M$31),""))</f>
        <v/>
      </c>
      <c r="Q23" s="20" t="str">
        <f aca="false">IF(C23="","",IFERROR(IF(I23=0,"",(I23-SUMIF($V$7:$V$31,V23,$M$7:$M$31))/I23),""))</f>
        <v/>
      </c>
      <c r="R23" s="21"/>
      <c r="S23" s="21"/>
      <c r="T23" s="14"/>
      <c r="U23" s="22" t="str">
        <f aca="false">IF(C23="","",IFERROR(DATEDIF(R23,S23,"m"),""))</f>
        <v/>
      </c>
      <c r="V23" s="23" t="str">
        <f aca="false">IF(C23&lt;&gt;"",ROW(),V22)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5"/>
      <c r="G24" s="25" t="n">
        <f aca="false">E24*F24</f>
        <v>0</v>
      </c>
      <c r="H24" s="26" t="str">
        <f aca="false">IFERROR(1+($I$4-$I$3)/$I$3,"")</f>
        <v/>
      </c>
      <c r="I24" s="25" t="str">
        <f aca="false">IFERROR(G24*H24,"")</f>
        <v/>
      </c>
      <c r="J24" s="24"/>
      <c r="K24" s="25"/>
      <c r="L24" s="25"/>
      <c r="M24" s="25" t="n">
        <f aca="false">K24*L24</f>
        <v>0</v>
      </c>
      <c r="N24" s="25"/>
      <c r="O24" s="25" t="n">
        <f aca="false">IFERROR(M24-N24,"")</f>
        <v>0</v>
      </c>
      <c r="P24" s="25" t="str">
        <f aca="false">IF(C24="","",IFERROR(I24-SUMIF($V$7:$V$31,V24,$M$7:$M$31),""))</f>
        <v/>
      </c>
      <c r="Q24" s="27" t="str">
        <f aca="false">IF(C24="","",IFERROR(IF(I24=0,"",(I24-SUMIF($V$7:$V$31,V24,$M$7:$M$31))/I24),""))</f>
        <v/>
      </c>
      <c r="R24" s="28"/>
      <c r="S24" s="28"/>
      <c r="T24" s="24"/>
      <c r="U24" s="29" t="str">
        <f aca="false">IF(C24="","",IFERROR(DATEDIF(R24,S24,"m"),""))</f>
        <v/>
      </c>
      <c r="V24" s="23" t="str">
        <f aca="false">IF(C24&lt;&gt;"",ROW(),V23)</f>
        <v/>
      </c>
    </row>
    <row r="25" customFormat="false" ht="15" hidden="false" customHeight="false" outlineLevel="0" collapsed="false">
      <c r="A25" s="14"/>
      <c r="B25" s="14"/>
      <c r="C25" s="14"/>
      <c r="D25" s="15"/>
      <c r="E25" s="15"/>
      <c r="F25" s="16"/>
      <c r="G25" s="16" t="n">
        <f aca="false">E25*F25</f>
        <v>0</v>
      </c>
      <c r="H25" s="17" t="str">
        <f aca="false">IFERROR(1+($I$4-$I$3)/$I$3,"")</f>
        <v/>
      </c>
      <c r="I25" s="18" t="str">
        <f aca="false">IFERROR(G25*H25,"")</f>
        <v/>
      </c>
      <c r="J25" s="14"/>
      <c r="K25" s="19"/>
      <c r="L25" s="19"/>
      <c r="M25" s="19" t="n">
        <f aca="false">K25*L25</f>
        <v>0</v>
      </c>
      <c r="N25" s="19"/>
      <c r="O25" s="19" t="n">
        <f aca="false">IFERROR(M25-N25,"")</f>
        <v>0</v>
      </c>
      <c r="P25" s="19" t="str">
        <f aca="false">IF(C25="","",IFERROR(I25-SUMIF($V$7:$V$31,V25,$M$7:$M$31),""))</f>
        <v/>
      </c>
      <c r="Q25" s="20" t="str">
        <f aca="false">IF(C25="","",IFERROR(IF(I25=0,"",(I25-SUMIF($V$7:$V$31,V25,$M$7:$M$31))/I25),""))</f>
        <v/>
      </c>
      <c r="R25" s="21"/>
      <c r="S25" s="21"/>
      <c r="T25" s="14"/>
      <c r="U25" s="22" t="str">
        <f aca="false">IF(C25="","",IFERROR(DATEDIF(R25,S25,"m"),""))</f>
        <v/>
      </c>
      <c r="V25" s="23" t="str">
        <f aca="false">IF(C25&lt;&gt;"",ROW(),V24)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5"/>
      <c r="G26" s="25" t="n">
        <f aca="false">E26*F26</f>
        <v>0</v>
      </c>
      <c r="H26" s="26" t="str">
        <f aca="false">IFERROR(1+($I$4-$I$3)/$I$3,"")</f>
        <v/>
      </c>
      <c r="I26" s="25" t="str">
        <f aca="false">IFERROR(G26*H26,"")</f>
        <v/>
      </c>
      <c r="J26" s="24"/>
      <c r="K26" s="25"/>
      <c r="L26" s="25"/>
      <c r="M26" s="25" t="n">
        <f aca="false">K26*L26</f>
        <v>0</v>
      </c>
      <c r="N26" s="25"/>
      <c r="O26" s="25" t="n">
        <f aca="false">IFERROR(M26-N26,"")</f>
        <v>0</v>
      </c>
      <c r="P26" s="25" t="str">
        <f aca="false">IF(C26="","",IFERROR(I26-SUMIF($V$7:$V$31,V26,$M$7:$M$31),""))</f>
        <v/>
      </c>
      <c r="Q26" s="27" t="str">
        <f aca="false">IF(C26="","",IFERROR(IF(I26=0,"",(I26-SUMIF($V$7:$V$31,V26,$M$7:$M$31))/I26),""))</f>
        <v/>
      </c>
      <c r="R26" s="28"/>
      <c r="S26" s="28"/>
      <c r="T26" s="24"/>
      <c r="U26" s="29" t="str">
        <f aca="false">IF(C26="","",IFERROR(DATEDIF(R26,S26,"m"),""))</f>
        <v/>
      </c>
      <c r="V26" s="23" t="str">
        <f aca="false">IF(C26&lt;&gt;"",ROW(),V25)</f>
        <v/>
      </c>
    </row>
    <row r="27" customFormat="false" ht="15" hidden="false" customHeight="false" outlineLevel="0" collapsed="false">
      <c r="A27" s="14"/>
      <c r="B27" s="14"/>
      <c r="C27" s="14"/>
      <c r="D27" s="15"/>
      <c r="E27" s="15"/>
      <c r="F27" s="16"/>
      <c r="G27" s="16" t="n">
        <f aca="false">E27*F27</f>
        <v>0</v>
      </c>
      <c r="H27" s="17" t="str">
        <f aca="false">IFERROR(1+($I$4-$I$3)/$I$3,"")</f>
        <v/>
      </c>
      <c r="I27" s="18" t="str">
        <f aca="false">IFERROR(G27*H27,"")</f>
        <v/>
      </c>
      <c r="J27" s="14"/>
      <c r="K27" s="19"/>
      <c r="L27" s="19"/>
      <c r="M27" s="19" t="n">
        <f aca="false">K27*L27</f>
        <v>0</v>
      </c>
      <c r="N27" s="19"/>
      <c r="O27" s="19" t="n">
        <f aca="false">IFERROR(M27-N27,"")</f>
        <v>0</v>
      </c>
      <c r="P27" s="19" t="str">
        <f aca="false">IF(C27="","",IFERROR(I27-SUMIF($V$7:$V$31,V27,$M$7:$M$31),""))</f>
        <v/>
      </c>
      <c r="Q27" s="20" t="str">
        <f aca="false">IF(C27="","",IFERROR(IF(I27=0,"",(I27-SUMIF($V$7:$V$31,V27,$M$7:$M$31))/I27),""))</f>
        <v/>
      </c>
      <c r="R27" s="21"/>
      <c r="S27" s="21"/>
      <c r="T27" s="14"/>
      <c r="U27" s="22" t="str">
        <f aca="false">IF(C27="","",IFERROR(DATEDIF(R27,S27,"m"),""))</f>
        <v/>
      </c>
      <c r="V27" s="23" t="str">
        <f aca="false">IF(C27&lt;&gt;"",ROW(),V26)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5"/>
      <c r="G28" s="25" t="n">
        <f aca="false">E28*F28</f>
        <v>0</v>
      </c>
      <c r="H28" s="26" t="str">
        <f aca="false">IFERROR(1+($I$4-$I$3)/$I$3,"")</f>
        <v/>
      </c>
      <c r="I28" s="25" t="str">
        <f aca="false">IFERROR(G28*H28,"")</f>
        <v/>
      </c>
      <c r="J28" s="24"/>
      <c r="K28" s="25"/>
      <c r="L28" s="25"/>
      <c r="M28" s="25" t="n">
        <f aca="false">K28*L28</f>
        <v>0</v>
      </c>
      <c r="N28" s="25"/>
      <c r="O28" s="25" t="n">
        <f aca="false">IFERROR(M28-N28,"")</f>
        <v>0</v>
      </c>
      <c r="P28" s="25" t="str">
        <f aca="false">IF(C28="","",IFERROR(I28-SUMIF($V$7:$V$31,V28,$M$7:$M$31),""))</f>
        <v/>
      </c>
      <c r="Q28" s="27" t="str">
        <f aca="false">IF(C28="","",IFERROR(IF(I28=0,"",(I28-SUMIF($V$7:$V$31,V28,$M$7:$M$31))/I28),""))</f>
        <v/>
      </c>
      <c r="R28" s="28"/>
      <c r="S28" s="28"/>
      <c r="T28" s="24"/>
      <c r="U28" s="29" t="str">
        <f aca="false">IF(C28="","",IFERROR(DATEDIF(R28,S28,"m"),""))</f>
        <v/>
      </c>
      <c r="V28" s="23" t="str">
        <f aca="false">IF(C28&lt;&gt;"",ROW(),V27)</f>
        <v/>
      </c>
    </row>
    <row r="29" customFormat="false" ht="15" hidden="false" customHeight="false" outlineLevel="0" collapsed="false">
      <c r="A29" s="14"/>
      <c r="B29" s="14"/>
      <c r="C29" s="14"/>
      <c r="D29" s="15"/>
      <c r="E29" s="15"/>
      <c r="F29" s="16"/>
      <c r="G29" s="16" t="n">
        <f aca="false">E29*F29</f>
        <v>0</v>
      </c>
      <c r="H29" s="17" t="str">
        <f aca="false">IFERROR(1+($I$4-$I$3)/$I$3,"")</f>
        <v/>
      </c>
      <c r="I29" s="18" t="str">
        <f aca="false">IFERROR(G29*H29,"")</f>
        <v/>
      </c>
      <c r="J29" s="14"/>
      <c r="K29" s="19"/>
      <c r="L29" s="19"/>
      <c r="M29" s="19" t="n">
        <f aca="false">K29*L29</f>
        <v>0</v>
      </c>
      <c r="N29" s="19"/>
      <c r="O29" s="19" t="n">
        <f aca="false">IFERROR(M29-N29,"")</f>
        <v>0</v>
      </c>
      <c r="P29" s="19" t="str">
        <f aca="false">IF(C29="","",IFERROR(I29-SUMIF($V$7:$V$31,V29,$M$7:$M$31),""))</f>
        <v/>
      </c>
      <c r="Q29" s="20" t="str">
        <f aca="false">IF(C29="","",IFERROR(IF(I29=0,"",(I29-SUMIF($V$7:$V$31,V29,$M$7:$M$31))/I29),""))</f>
        <v/>
      </c>
      <c r="R29" s="21"/>
      <c r="S29" s="21"/>
      <c r="T29" s="14"/>
      <c r="U29" s="22" t="str">
        <f aca="false">IF(C29="","",IFERROR(DATEDIF(R29,S29,"m"),""))</f>
        <v/>
      </c>
      <c r="V29" s="23" t="str">
        <f aca="false">IF(C29&lt;&gt;"",ROW(),V28)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5"/>
      <c r="G30" s="25" t="n">
        <f aca="false">E30*F30</f>
        <v>0</v>
      </c>
      <c r="H30" s="26" t="str">
        <f aca="false">IFERROR(1+($I$4-$I$3)/$I$3,"")</f>
        <v/>
      </c>
      <c r="I30" s="25" t="str">
        <f aca="false">IFERROR(G30*H30,"")</f>
        <v/>
      </c>
      <c r="J30" s="24"/>
      <c r="K30" s="25"/>
      <c r="L30" s="25"/>
      <c r="M30" s="25" t="n">
        <f aca="false">K30*L30</f>
        <v>0</v>
      </c>
      <c r="N30" s="25"/>
      <c r="O30" s="25" t="n">
        <f aca="false">IFERROR(M30-N30,"")</f>
        <v>0</v>
      </c>
      <c r="P30" s="25" t="str">
        <f aca="false">IF(C30="","",IFERROR(I30-SUMIF($V$7:$V$31,V30,$M$7:$M$31),""))</f>
        <v/>
      </c>
      <c r="Q30" s="27" t="str">
        <f aca="false">IF(C30="","",IFERROR(IF(I30=0,"",(I30-SUMIF($V$7:$V$31,V30,$M$7:$M$31))/I30),""))</f>
        <v/>
      </c>
      <c r="R30" s="28"/>
      <c r="S30" s="28"/>
      <c r="T30" s="24"/>
      <c r="U30" s="29" t="str">
        <f aca="false">IF(C30="","",IFERROR(DATEDIF(R30,S30,"m"),""))</f>
        <v/>
      </c>
      <c r="V30" s="23" t="str">
        <f aca="false">IF(C30&lt;&gt;"",ROW(),V29)</f>
        <v/>
      </c>
    </row>
    <row r="31" customFormat="false" ht="15" hidden="false" customHeight="false" outlineLevel="0" collapsed="false">
      <c r="A31" s="14"/>
      <c r="B31" s="14"/>
      <c r="C31" s="14"/>
      <c r="D31" s="15"/>
      <c r="E31" s="15"/>
      <c r="F31" s="16"/>
      <c r="G31" s="16" t="n">
        <f aca="false">E31*F31</f>
        <v>0</v>
      </c>
      <c r="H31" s="17" t="str">
        <f aca="false">IFERROR(1+($I$4-$I$3)/$I$3,"")</f>
        <v/>
      </c>
      <c r="I31" s="18" t="str">
        <f aca="false">IFERROR(G31*H31,"")</f>
        <v/>
      </c>
      <c r="J31" s="14"/>
      <c r="K31" s="19"/>
      <c r="L31" s="19"/>
      <c r="M31" s="19" t="n">
        <f aca="false">K31*L31</f>
        <v>0</v>
      </c>
      <c r="N31" s="19"/>
      <c r="O31" s="19" t="n">
        <f aca="false">IFERROR(M31-N31,"")</f>
        <v>0</v>
      </c>
      <c r="P31" s="19" t="str">
        <f aca="false">IF(C31="","",IFERROR(I31-SUMIF($V$7:$V$31,V31,$M$7:$M$31),""))</f>
        <v/>
      </c>
      <c r="Q31" s="20" t="str">
        <f aca="false">IF(C31="","",IFERROR(IF(I31=0,"",(I31-SUMIF($V$7:$V$31,V31,$M$7:$M$31))/I31),""))</f>
        <v/>
      </c>
      <c r="R31" s="21"/>
      <c r="S31" s="21"/>
      <c r="T31" s="14"/>
      <c r="U31" s="22" t="str">
        <f aca="false">IF(C31="","",IFERROR(DATEDIF(R31,S31,"m"),""))</f>
        <v/>
      </c>
      <c r="V31" s="23" t="str">
        <f aca="false">IF(C31&lt;&gt;"",ROW(),V30)</f>
        <v/>
      </c>
    </row>
  </sheetData>
  <mergeCells count="8">
    <mergeCell ref="A1:U1"/>
    <mergeCell ref="B2:U2"/>
    <mergeCell ref="A5:C5"/>
    <mergeCell ref="D5:G5"/>
    <mergeCell ref="H5:I5"/>
    <mergeCell ref="J5:O5"/>
    <mergeCell ref="P5:Q5"/>
    <mergeCell ref="R5:U5"/>
  </mergeCells>
  <conditionalFormatting sqref="P7:P31">
    <cfRule type="cellIs" priority="2" operator="lessThan" aboveAverage="0" equalAverage="0" bottom="0" percent="0" rank="0" text="" dxfId="10">
      <formula>0</formula>
    </cfRule>
    <cfRule type="cellIs" priority="3" operator="greaterThan" aboveAverage="0" equalAverage="0" bottom="0" percent="0" rank="0" text="" dxfId="11">
      <formula>0</formula>
    </cfRule>
  </conditionalFormatting>
  <conditionalFormatting sqref="Q7:Q31">
    <cfRule type="cellIs" priority="4" operator="lessThan" aboveAverage="0" equalAverage="0" bottom="0" percent="0" rank="0" text="" dxfId="10">
      <formula>0</formula>
    </cfRule>
    <cfRule type="cellIs" priority="5" operator="greaterThan" aboveAverage="0" equalAverage="0" bottom="0" percent="0" rank="0" text="" dxfId="11">
      <formula>0</formula>
    </cfRule>
  </conditionalFormatting>
  <dataValidations count="1">
    <dataValidation allowBlank="true" error="Selecione uma descrição válida da lista." errorStyle="stop" errorTitle="Valor inválido" operator="between" prompt="Clique na seta e escolha o serviço (deixe em branco se essa linha for de um terceiro adicional do item de cima)." promptTitle="Descrição das Atividades" showDropDown="false" showErrorMessage="false" showInputMessage="false" sqref="C7:C31" type="list">
      <formula1>ListaDescricoes!$A$2:$A$68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30" t="s">
        <v>31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34</v>
      </c>
    </row>
    <row r="5" customFormat="false" ht="15" hidden="false" customHeight="false" outlineLevel="0" collapsed="false">
      <c r="A5" s="0" t="s">
        <v>35</v>
      </c>
    </row>
    <row r="6" customFormat="false" ht="15" hidden="false" customHeight="false" outlineLevel="0" collapsed="false">
      <c r="A6" s="0" t="s">
        <v>36</v>
      </c>
    </row>
    <row r="7" customFormat="false" ht="15" hidden="false" customHeight="false" outlineLevel="0" collapsed="false">
      <c r="A7" s="0" t="s">
        <v>37</v>
      </c>
    </row>
    <row r="8" customFormat="false" ht="15" hidden="false" customHeight="false" outlineLevel="0" collapsed="false">
      <c r="A8" s="0" t="s">
        <v>38</v>
      </c>
    </row>
    <row r="9" customFormat="false" ht="15" hidden="false" customHeight="false" outlineLevel="0" collapsed="false">
      <c r="A9" s="0" t="s">
        <v>39</v>
      </c>
    </row>
    <row r="10" customFormat="false" ht="15" hidden="false" customHeight="false" outlineLevel="0" collapsed="false">
      <c r="A10" s="0" t="s">
        <v>40</v>
      </c>
    </row>
    <row r="11" customFormat="false" ht="15" hidden="false" customHeight="false" outlineLevel="0" collapsed="false">
      <c r="A11" s="0" t="s">
        <v>41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43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46</v>
      </c>
    </row>
    <row r="17" customFormat="false" ht="15" hidden="false" customHeight="false" outlineLevel="0" collapsed="false">
      <c r="A17" s="0" t="s">
        <v>47</v>
      </c>
    </row>
    <row r="18" customFormat="false" ht="15" hidden="false" customHeight="false" outlineLevel="0" collapsed="false">
      <c r="A18" s="0" t="s">
        <v>48</v>
      </c>
    </row>
    <row r="19" customFormat="false" ht="15" hidden="false" customHeight="false" outlineLevel="0" collapsed="false">
      <c r="A19" s="0" t="s">
        <v>49</v>
      </c>
    </row>
    <row r="20" customFormat="false" ht="15" hidden="false" customHeight="false" outlineLevel="0" collapsed="false">
      <c r="A20" s="0" t="s">
        <v>50</v>
      </c>
    </row>
    <row r="21" customFormat="false" ht="15" hidden="false" customHeight="false" outlineLevel="0" collapsed="false">
      <c r="A21" s="0" t="s">
        <v>51</v>
      </c>
    </row>
    <row r="22" customFormat="false" ht="15" hidden="false" customHeight="false" outlineLevel="0" collapsed="false">
      <c r="A22" s="0" t="s">
        <v>52</v>
      </c>
    </row>
    <row r="23" customFormat="false" ht="15" hidden="false" customHeight="false" outlineLevel="0" collapsed="false">
      <c r="A23" s="0" t="s">
        <v>53</v>
      </c>
    </row>
    <row r="24" customFormat="false" ht="15" hidden="false" customHeight="false" outlineLevel="0" collapsed="false">
      <c r="A24" s="0" t="s">
        <v>54</v>
      </c>
    </row>
    <row r="25" customFormat="false" ht="15" hidden="false" customHeight="false" outlineLevel="0" collapsed="false">
      <c r="A25" s="0" t="s">
        <v>55</v>
      </c>
    </row>
    <row r="26" customFormat="false" ht="15" hidden="false" customHeight="false" outlineLevel="0" collapsed="false">
      <c r="A26" s="0" t="s">
        <v>56</v>
      </c>
    </row>
    <row r="27" customFormat="false" ht="15" hidden="false" customHeight="false" outlineLevel="0" collapsed="false">
      <c r="A27" s="0" t="s">
        <v>57</v>
      </c>
    </row>
    <row r="28" customFormat="false" ht="15" hidden="false" customHeight="false" outlineLevel="0" collapsed="false">
      <c r="A28" s="0" t="s">
        <v>58</v>
      </c>
    </row>
    <row r="29" customFormat="false" ht="15" hidden="false" customHeight="false" outlineLevel="0" collapsed="false">
      <c r="A29" s="0" t="s">
        <v>59</v>
      </c>
    </row>
    <row r="30" customFormat="false" ht="15" hidden="false" customHeight="false" outlineLevel="0" collapsed="false">
      <c r="A30" s="0" t="s">
        <v>60</v>
      </c>
    </row>
    <row r="31" customFormat="false" ht="15" hidden="false" customHeight="false" outlineLevel="0" collapsed="false">
      <c r="A31" s="0" t="s">
        <v>61</v>
      </c>
    </row>
    <row r="32" customFormat="false" ht="15" hidden="false" customHeight="false" outlineLevel="0" collapsed="false">
      <c r="A32" s="0" t="s">
        <v>62</v>
      </c>
    </row>
    <row r="33" customFormat="false" ht="15" hidden="false" customHeight="false" outlineLevel="0" collapsed="false">
      <c r="A33" s="0" t="s">
        <v>63</v>
      </c>
    </row>
    <row r="34" customFormat="false" ht="15" hidden="false" customHeight="false" outlineLevel="0" collapsed="false">
      <c r="A34" s="0" t="s">
        <v>64</v>
      </c>
    </row>
    <row r="35" customFormat="false" ht="15" hidden="false" customHeight="false" outlineLevel="0" collapsed="false">
      <c r="A35" s="0" t="s">
        <v>65</v>
      </c>
    </row>
    <row r="36" customFormat="false" ht="15" hidden="false" customHeight="false" outlineLevel="0" collapsed="false">
      <c r="A36" s="0" t="s">
        <v>66</v>
      </c>
    </row>
    <row r="37" customFormat="false" ht="15" hidden="false" customHeight="false" outlineLevel="0" collapsed="false">
      <c r="A37" s="0" t="s">
        <v>67</v>
      </c>
    </row>
    <row r="38" customFormat="false" ht="15" hidden="false" customHeight="false" outlineLevel="0" collapsed="false">
      <c r="A38" s="0" t="s">
        <v>68</v>
      </c>
    </row>
    <row r="39" customFormat="false" ht="15" hidden="false" customHeight="false" outlineLevel="0" collapsed="false">
      <c r="A39" s="0" t="s">
        <v>69</v>
      </c>
    </row>
    <row r="40" customFormat="false" ht="15" hidden="false" customHeight="false" outlineLevel="0" collapsed="false">
      <c r="A40" s="0" t="s">
        <v>70</v>
      </c>
    </row>
    <row r="41" customFormat="false" ht="15" hidden="false" customHeight="false" outlineLevel="0" collapsed="false">
      <c r="A41" s="0" t="s">
        <v>71</v>
      </c>
    </row>
    <row r="42" customFormat="false" ht="15" hidden="false" customHeight="false" outlineLevel="0" collapsed="false">
      <c r="A42" s="0" t="s">
        <v>72</v>
      </c>
    </row>
    <row r="43" customFormat="false" ht="15" hidden="false" customHeight="false" outlineLevel="0" collapsed="false">
      <c r="A43" s="0" t="s">
        <v>73</v>
      </c>
    </row>
    <row r="44" customFormat="false" ht="15" hidden="false" customHeight="false" outlineLevel="0" collapsed="false">
      <c r="A44" s="0" t="s">
        <v>74</v>
      </c>
    </row>
    <row r="45" customFormat="false" ht="15" hidden="false" customHeight="false" outlineLevel="0" collapsed="false">
      <c r="A45" s="0" t="s">
        <v>75</v>
      </c>
    </row>
    <row r="46" customFormat="false" ht="15" hidden="false" customHeight="false" outlineLevel="0" collapsed="false">
      <c r="A46" s="0" t="s">
        <v>76</v>
      </c>
    </row>
    <row r="47" customFormat="false" ht="15" hidden="false" customHeight="false" outlineLevel="0" collapsed="false">
      <c r="A47" s="0" t="s">
        <v>77</v>
      </c>
    </row>
    <row r="48" customFormat="false" ht="15" hidden="false" customHeight="false" outlineLevel="0" collapsed="false">
      <c r="A48" s="0" t="s">
        <v>78</v>
      </c>
    </row>
    <row r="49" customFormat="false" ht="15" hidden="false" customHeight="false" outlineLevel="0" collapsed="false">
      <c r="A49" s="0" t="s">
        <v>79</v>
      </c>
    </row>
    <row r="50" customFormat="false" ht="15" hidden="false" customHeight="false" outlineLevel="0" collapsed="false">
      <c r="A50" s="0" t="s">
        <v>80</v>
      </c>
    </row>
    <row r="51" customFormat="false" ht="15" hidden="false" customHeight="false" outlineLevel="0" collapsed="false">
      <c r="A51" s="0" t="s">
        <v>81</v>
      </c>
    </row>
    <row r="52" customFormat="false" ht="15" hidden="false" customHeight="false" outlineLevel="0" collapsed="false">
      <c r="A52" s="0" t="s">
        <v>82</v>
      </c>
    </row>
    <row r="53" customFormat="false" ht="15" hidden="false" customHeight="false" outlineLevel="0" collapsed="false">
      <c r="A53" s="0" t="s">
        <v>83</v>
      </c>
    </row>
    <row r="54" customFormat="false" ht="15" hidden="false" customHeight="false" outlineLevel="0" collapsed="false">
      <c r="A54" s="0" t="s">
        <v>84</v>
      </c>
    </row>
    <row r="55" customFormat="false" ht="15" hidden="false" customHeight="false" outlineLevel="0" collapsed="false">
      <c r="A55" s="0" t="s">
        <v>85</v>
      </c>
    </row>
    <row r="56" customFormat="false" ht="15" hidden="false" customHeight="false" outlineLevel="0" collapsed="false">
      <c r="A56" s="0" t="s">
        <v>86</v>
      </c>
    </row>
    <row r="57" customFormat="false" ht="15" hidden="false" customHeight="false" outlineLevel="0" collapsed="false">
      <c r="A57" s="0" t="s">
        <v>87</v>
      </c>
    </row>
    <row r="58" customFormat="false" ht="15" hidden="false" customHeight="false" outlineLevel="0" collapsed="false">
      <c r="A58" s="0" t="s">
        <v>88</v>
      </c>
    </row>
    <row r="59" customFormat="false" ht="15" hidden="false" customHeight="false" outlineLevel="0" collapsed="false">
      <c r="A59" s="0" t="s">
        <v>89</v>
      </c>
    </row>
    <row r="60" customFormat="false" ht="15" hidden="false" customHeight="false" outlineLevel="0" collapsed="false">
      <c r="A60" s="0" t="s">
        <v>90</v>
      </c>
    </row>
    <row r="61" customFormat="false" ht="15" hidden="false" customHeight="false" outlineLevel="0" collapsed="false">
      <c r="A61" s="0" t="s">
        <v>91</v>
      </c>
    </row>
    <row r="62" customFormat="false" ht="15" hidden="false" customHeight="false" outlineLevel="0" collapsed="false">
      <c r="A62" s="0" t="s">
        <v>92</v>
      </c>
    </row>
    <row r="63" customFormat="false" ht="15" hidden="false" customHeight="false" outlineLevel="0" collapsed="false">
      <c r="A63" s="0" t="s">
        <v>93</v>
      </c>
    </row>
    <row r="64" customFormat="false" ht="15" hidden="false" customHeight="false" outlineLevel="0" collapsed="false">
      <c r="A64" s="0" t="s">
        <v>94</v>
      </c>
    </row>
    <row r="65" customFormat="false" ht="15" hidden="false" customHeight="false" outlineLevel="0" collapsed="false">
      <c r="A65" s="0" t="s">
        <v>95</v>
      </c>
    </row>
    <row r="66" customFormat="false" ht="15" hidden="false" customHeight="false" outlineLevel="0" collapsed="false">
      <c r="A66" s="0" t="s">
        <v>96</v>
      </c>
    </row>
    <row r="67" customFormat="false" ht="15" hidden="false" customHeight="false" outlineLevel="0" collapsed="false">
      <c r="A67" s="0" t="s">
        <v>97</v>
      </c>
    </row>
    <row r="68" customFormat="false" ht="15" hidden="false" customHeight="false" outlineLevel="0" collapsed="false">
      <c r="A68" s="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2026-08-06T12:57:13Z</dcterms:created>
  <dc:creator>openpyxl</dc:creator>
  <dc:description/>
  <dc:language>en-US</dc:language>
  <cp:lastModifiedBy/>
  <dcterms:modified xsi:type="dcterms:W3CDTF">2026-08-06T12:57:14Z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